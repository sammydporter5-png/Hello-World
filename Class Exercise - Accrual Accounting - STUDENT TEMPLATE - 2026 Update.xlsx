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samporter_uiowa_edu/Documents/"/>
    </mc:Choice>
  </mc:AlternateContent>
  <xr:revisionPtr revIDLastSave="4" documentId="8_{9DEC239F-91E5-AC49-8CF3-3C7FB1EEE350}" xr6:coauthVersionLast="47" xr6:coauthVersionMax="47" xr10:uidLastSave="{1A98AC60-3042-6944-A8EA-F6398F29AC85}"/>
  <bookViews>
    <workbookView xWindow="0" yWindow="660" windowWidth="29500" windowHeight="17660" xr2:uid="{06BF0AFF-7F46-423E-A3F1-3D372343EA68}"/>
  </bookViews>
  <sheets>
    <sheet name="Accrual Accounting" sheetId="5" r:id="rId1"/>
  </sheets>
  <definedNames>
    <definedName name="HTML_CodePage" hidden="1">1252</definedName>
    <definedName name="HTML_Control" localSheetId="0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5" l="1"/>
  <c r="M30" i="5"/>
  <c r="L30" i="5"/>
  <c r="K30" i="5"/>
  <c r="C40" i="5"/>
  <c r="D40" i="5" s="1"/>
  <c r="C39" i="5"/>
  <c r="C36" i="5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C35" i="5"/>
  <c r="D35" i="5" s="1"/>
  <c r="E35" i="5" s="1"/>
  <c r="F35" i="5" s="1"/>
  <c r="G35" i="5" s="1"/>
  <c r="H35" i="5" s="1"/>
  <c r="I35" i="5" s="1"/>
  <c r="J35" i="5" s="1"/>
  <c r="K35" i="5" s="1"/>
  <c r="L35" i="5" s="1"/>
  <c r="M35" i="5" s="1"/>
  <c r="N35" i="5" s="1"/>
  <c r="N28" i="5"/>
  <c r="M28" i="5"/>
  <c r="L28" i="5"/>
  <c r="K28" i="5"/>
  <c r="J28" i="5"/>
  <c r="I28" i="5"/>
  <c r="H28" i="5"/>
  <c r="G28" i="5"/>
  <c r="F28" i="5"/>
  <c r="E28" i="5"/>
  <c r="D28" i="5"/>
  <c r="C28" i="5"/>
  <c r="O27" i="5"/>
  <c r="O26" i="5"/>
  <c r="N24" i="5"/>
  <c r="N30" i="5" s="1"/>
  <c r="M24" i="5"/>
  <c r="L24" i="5"/>
  <c r="K24" i="5"/>
  <c r="J24" i="5"/>
  <c r="I24" i="5"/>
  <c r="H24" i="5"/>
  <c r="G24" i="5"/>
  <c r="F24" i="5"/>
  <c r="E24" i="5"/>
  <c r="D24" i="5"/>
  <c r="C24" i="5"/>
  <c r="O23" i="5"/>
  <c r="O22" i="5"/>
  <c r="N18" i="5"/>
  <c r="M18" i="5"/>
  <c r="L18" i="5"/>
  <c r="K18" i="5"/>
  <c r="J18" i="5"/>
  <c r="I18" i="5"/>
  <c r="H18" i="5"/>
  <c r="G18" i="5"/>
  <c r="F18" i="5"/>
  <c r="E18" i="5"/>
  <c r="D18" i="5"/>
  <c r="C18" i="5"/>
  <c r="C34" i="5" s="1"/>
  <c r="O17" i="5"/>
  <c r="O16" i="5"/>
  <c r="O15" i="5"/>
  <c r="O14" i="5"/>
  <c r="C41" i="5" l="1"/>
  <c r="G30" i="5"/>
  <c r="H30" i="5"/>
  <c r="D39" i="5"/>
  <c r="E39" i="5" s="1"/>
  <c r="F39" i="5" s="1"/>
  <c r="G39" i="5" s="1"/>
  <c r="H39" i="5" s="1"/>
  <c r="C37" i="5"/>
  <c r="C43" i="5" s="1"/>
  <c r="D34" i="5"/>
  <c r="E40" i="5"/>
  <c r="F40" i="5" s="1"/>
  <c r="G40" i="5" s="1"/>
  <c r="H40" i="5" s="1"/>
  <c r="I40" i="5" s="1"/>
  <c r="J40" i="5" s="1"/>
  <c r="K40" i="5" s="1"/>
  <c r="L40" i="5" s="1"/>
  <c r="M40" i="5" s="1"/>
  <c r="N40" i="5" s="1"/>
  <c r="D41" i="5"/>
  <c r="I30" i="5"/>
  <c r="O28" i="5"/>
  <c r="D30" i="5"/>
  <c r="E30" i="5"/>
  <c r="F30" i="5"/>
  <c r="O24" i="5"/>
  <c r="C30" i="5"/>
  <c r="O18" i="5"/>
  <c r="F41" i="5" l="1"/>
  <c r="E41" i="5"/>
  <c r="G41" i="5"/>
  <c r="I39" i="5"/>
  <c r="H41" i="5"/>
  <c r="O30" i="5"/>
  <c r="D37" i="5"/>
  <c r="E34" i="5"/>
  <c r="D43" i="5"/>
  <c r="E43" i="5" s="1"/>
  <c r="F43" i="5" s="1"/>
  <c r="G43" i="5" s="1"/>
  <c r="H43" i="5" s="1"/>
  <c r="I43" i="5" s="1"/>
  <c r="J43" i="5" s="1"/>
  <c r="K43" i="5" s="1"/>
  <c r="L43" i="5" s="1"/>
  <c r="M43" i="5" s="1"/>
  <c r="N43" i="5" s="1"/>
  <c r="E37" i="5" l="1"/>
  <c r="F34" i="5"/>
  <c r="J39" i="5"/>
  <c r="I41" i="5"/>
  <c r="K39" i="5" l="1"/>
  <c r="J41" i="5"/>
  <c r="G34" i="5"/>
  <c r="F37" i="5"/>
  <c r="H34" i="5" l="1"/>
  <c r="G37" i="5"/>
  <c r="L39" i="5"/>
  <c r="K41" i="5"/>
  <c r="M39" i="5" l="1"/>
  <c r="L41" i="5"/>
  <c r="I34" i="5"/>
  <c r="H37" i="5"/>
  <c r="J34" i="5" l="1"/>
  <c r="I37" i="5"/>
  <c r="N39" i="5"/>
  <c r="N41" i="5" s="1"/>
  <c r="M41" i="5"/>
  <c r="K34" i="5" l="1"/>
  <c r="J37" i="5"/>
  <c r="L34" i="5" l="1"/>
  <c r="K37" i="5"/>
  <c r="M34" i="5" l="1"/>
  <c r="L37" i="5"/>
  <c r="M37" i="5" l="1"/>
  <c r="N34" i="5"/>
  <c r="N37" i="5" s="1"/>
</calcChain>
</file>

<file path=xl/sharedStrings.xml><?xml version="1.0" encoding="utf-8"?>
<sst xmlns="http://schemas.openxmlformats.org/spreadsheetml/2006/main" count="70" uniqueCount="45">
  <si>
    <t>Cash</t>
  </si>
  <si>
    <t>Transactions</t>
  </si>
  <si>
    <t>Cash Flow</t>
  </si>
  <si>
    <t>Jan</t>
  </si>
  <si>
    <t>Feb</t>
  </si>
  <si>
    <t>Mar</t>
  </si>
  <si>
    <t>Apr</t>
  </si>
  <si>
    <t>May</t>
  </si>
  <si>
    <t>Jun</t>
  </si>
  <si>
    <t>Jul</t>
  </si>
  <si>
    <t>Aug</t>
  </si>
  <si>
    <t xml:space="preserve">Sept </t>
  </si>
  <si>
    <t xml:space="preserve">Oct </t>
  </si>
  <si>
    <t xml:space="preserve">Nov </t>
  </si>
  <si>
    <t>Dec</t>
  </si>
  <si>
    <t>Total</t>
  </si>
  <si>
    <t>Monthly Cash Flow</t>
  </si>
  <si>
    <t>Income Statement (Accrual Accounting)</t>
  </si>
  <si>
    <t>Comment</t>
  </si>
  <si>
    <t>Revenue (#1)</t>
  </si>
  <si>
    <t>Cost of Goods Sold (#2)</t>
  </si>
  <si>
    <t>Gross Margin</t>
  </si>
  <si>
    <t>Depreciation (#3)</t>
  </si>
  <si>
    <t>Salaries (#4)</t>
  </si>
  <si>
    <t>Total Operating Expense</t>
  </si>
  <si>
    <t>Earnings Before Tax</t>
  </si>
  <si>
    <t>1) In January, sold an annual service for $2,400,000.  The customer paid the full $2,400,000 in January, but gets equal benefit from the service each month of the year.</t>
  </si>
  <si>
    <t>3) In January, purchased a manufacturing equipment for $600,000.  This equipment has a 1-year asset life and is depreciated on a straight-line basis over 12 months.</t>
  </si>
  <si>
    <t>Balance Sheet (as of month-end)</t>
  </si>
  <si>
    <t>Inventory</t>
  </si>
  <si>
    <t>Equipment</t>
  </si>
  <si>
    <t>Unearned Revenue</t>
  </si>
  <si>
    <t>Total Assets</t>
  </si>
  <si>
    <t>Total Liabilities</t>
  </si>
  <si>
    <t>Shareholders Equity</t>
  </si>
  <si>
    <t>Salaries Payable</t>
  </si>
  <si>
    <t xml:space="preserve">      - However, at year-end, the employies are paid for their Dec 1-31 work on Dec 31 (not Jan 1)</t>
  </si>
  <si>
    <t>Enter Positive Number</t>
  </si>
  <si>
    <t>Enter Negative Number</t>
  </si>
  <si>
    <t>Annual Service Sale (#1)</t>
  </si>
  <si>
    <t>Purchased Inventory (#2)</t>
  </si>
  <si>
    <t>#3 Purchased Equipment (#3)</t>
  </si>
  <si>
    <t>#4 Employee Salaries (#4)</t>
  </si>
  <si>
    <t>2) In January, purchased $900,000 of inventory.  This is 100% of the product to support the $2.4M sale.  This inventory will be consumed (used) at a rate of $75K each month as you perform the monthly work for your customer.</t>
  </si>
  <si>
    <t>4) Employee salaries are $30,000 per month, and are paid out on the first day each month following the month in which they did the work (e.g. they are paid on Feb 1 for work done Jan 1-31)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</si>
</sst>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2" xfId="0" applyFill="1" applyBorder="1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0" borderId="2" xfId="0" applyFont="1" applyBorder="1"/>
    <xf numFmtId="6" fontId="4" fillId="0" borderId="4" xfId="0" applyNumberFormat="1" applyFont="1" applyBorder="1"/>
    <xf numFmtId="0" fontId="4" fillId="0" borderId="0" xfId="0" applyFont="1"/>
    <xf numFmtId="0" fontId="4" fillId="0" borderId="5" xfId="0" applyFont="1" applyBorder="1"/>
    <xf numFmtId="6" fontId="4" fillId="0" borderId="6" xfId="0" applyNumberFormat="1" applyFont="1" applyBorder="1"/>
    <xf numFmtId="6" fontId="4" fillId="0" borderId="7" xfId="0" applyNumberFormat="1" applyFont="1" applyBorder="1"/>
    <xf numFmtId="0" fontId="5" fillId="0" borderId="8" xfId="0" applyFont="1" applyBorder="1"/>
    <xf numFmtId="6" fontId="5" fillId="0" borderId="10" xfId="0" applyNumberFormat="1" applyFont="1" applyBorder="1"/>
    <xf numFmtId="0" fontId="6" fillId="4" borderId="2" xfId="0" applyFont="1" applyFill="1" applyBorder="1"/>
    <xf numFmtId="0" fontId="7" fillId="4" borderId="3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0" borderId="5" xfId="0" applyFont="1" applyBorder="1"/>
    <xf numFmtId="6" fontId="5" fillId="0" borderId="12" xfId="0" applyNumberFormat="1" applyFont="1" applyBorder="1"/>
    <xf numFmtId="0" fontId="4" fillId="0" borderId="6" xfId="0" applyFont="1" applyBorder="1"/>
    <xf numFmtId="6" fontId="5" fillId="0" borderId="13" xfId="0" applyNumberFormat="1" applyFont="1" applyBorder="1"/>
    <xf numFmtId="6" fontId="5" fillId="0" borderId="14" xfId="0" applyNumberFormat="1" applyFont="1" applyBorder="1"/>
    <xf numFmtId="0" fontId="4" fillId="0" borderId="10" xfId="0" applyFont="1" applyBorder="1"/>
    <xf numFmtId="6" fontId="5" fillId="0" borderId="0" xfId="0" applyNumberFormat="1" applyFont="1"/>
    <xf numFmtId="6" fontId="5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6" fontId="4" fillId="0" borderId="1" xfId="0" applyNumberFormat="1" applyFont="1" applyBorder="1" applyAlignment="1">
      <alignment horizontal="center"/>
    </xf>
    <xf numFmtId="6" fontId="4" fillId="0" borderId="3" xfId="0" applyNumberFormat="1" applyFont="1" applyBorder="1" applyAlignment="1">
      <alignment horizontal="center"/>
    </xf>
    <xf numFmtId="6" fontId="5" fillId="0" borderId="9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6" fontId="4" fillId="0" borderId="6" xfId="0" applyNumberFormat="1" applyFont="1" applyBorder="1" applyAlignment="1">
      <alignment horizontal="center"/>
    </xf>
    <xf numFmtId="6" fontId="4" fillId="0" borderId="7" xfId="0" applyNumberFormat="1" applyFont="1" applyBorder="1" applyAlignment="1">
      <alignment horizontal="center"/>
    </xf>
    <xf numFmtId="6" fontId="5" fillId="0" borderId="6" xfId="0" applyNumberFormat="1" applyFont="1" applyBorder="1" applyAlignment="1">
      <alignment horizontal="center"/>
    </xf>
    <xf numFmtId="6" fontId="5" fillId="0" borderId="10" xfId="0" applyNumberFormat="1" applyFont="1" applyBorder="1" applyAlignment="1">
      <alignment horizontal="center"/>
    </xf>
    <xf numFmtId="6" fontId="4" fillId="0" borderId="4" xfId="0" applyNumberFormat="1" applyFont="1" applyBorder="1" applyAlignment="1">
      <alignment horizontal="center"/>
    </xf>
    <xf numFmtId="0" fontId="0" fillId="5" borderId="15" xfId="0" applyFill="1" applyBorder="1"/>
    <xf numFmtId="0" fontId="0" fillId="2" borderId="15" xfId="0" applyFill="1" applyBorder="1"/>
    <xf numFmtId="6" fontId="4" fillId="2" borderId="3" xfId="0" applyNumberFormat="1" applyFont="1" applyFill="1" applyBorder="1" applyAlignment="1">
      <alignment horizontal="center"/>
    </xf>
    <xf numFmtId="6" fontId="4" fillId="5" borderId="0" xfId="0" applyNumberFormat="1" applyFont="1" applyFill="1" applyAlignment="1">
      <alignment horizontal="center"/>
    </xf>
    <xf numFmtId="6" fontId="4" fillId="5" borderId="1" xfId="0" applyNumberFormat="1" applyFont="1" applyFill="1" applyBorder="1" applyAlignment="1">
      <alignment horizontal="center"/>
    </xf>
    <xf numFmtId="6" fontId="5" fillId="2" borderId="0" xfId="0" applyNumberFormat="1" applyFont="1" applyFill="1" applyAlignment="1">
      <alignment horizontal="center"/>
    </xf>
    <xf numFmtId="6" fontId="4" fillId="2" borderId="1" xfId="0" applyNumberFormat="1" applyFont="1" applyFill="1" applyBorder="1" applyAlignment="1">
      <alignment horizontal="center"/>
    </xf>
    <xf numFmtId="6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D8C8-0C7D-4A33-9D77-AAD311A94F22}">
  <sheetPr>
    <tabColor theme="0" tint="-0.14999847407452621"/>
  </sheetPr>
  <dimension ref="B2:P43"/>
  <sheetViews>
    <sheetView showGridLines="0" tabSelected="1" topLeftCell="A9" zoomScale="90" zoomScaleNormal="90" workbookViewId="0">
      <selection activeCell="M15" sqref="M15"/>
    </sheetView>
  </sheetViews>
  <sheetFormatPr baseColWidth="10" defaultColWidth="8.83203125" defaultRowHeight="15" x14ac:dyDescent="0.2"/>
  <cols>
    <col min="1" max="1" width="3.33203125" customWidth="1"/>
    <col min="2" max="2" width="30" customWidth="1"/>
    <col min="3" max="3" width="14.83203125" customWidth="1"/>
    <col min="4" max="15" width="13.5" customWidth="1"/>
    <col min="16" max="16" width="107.6640625" customWidth="1"/>
  </cols>
  <sheetData>
    <row r="2" spans="2:16" s="3" customFormat="1" ht="19" x14ac:dyDescent="0.25">
      <c r="B2" s="1" t="s">
        <v>1</v>
      </c>
    </row>
    <row r="3" spans="2:16" s="3" customFormat="1" ht="19" x14ac:dyDescent="0.25">
      <c r="B3" s="3" t="s">
        <v>26</v>
      </c>
    </row>
    <row r="4" spans="2:16" s="3" customFormat="1" ht="19" x14ac:dyDescent="0.25">
      <c r="B4" s="3" t="s">
        <v>43</v>
      </c>
    </row>
    <row r="5" spans="2:16" s="3" customFormat="1" ht="19" x14ac:dyDescent="0.25">
      <c r="B5" s="3" t="s">
        <v>27</v>
      </c>
    </row>
    <row r="6" spans="2:16" ht="19" x14ac:dyDescent="0.25">
      <c r="B6" s="3" t="s">
        <v>44</v>
      </c>
    </row>
    <row r="7" spans="2:16" ht="19" x14ac:dyDescent="0.25">
      <c r="B7" s="3" t="s">
        <v>36</v>
      </c>
    </row>
    <row r="8" spans="2:16" ht="9" customHeight="1" thickBot="1" x14ac:dyDescent="0.3">
      <c r="B8" s="3"/>
    </row>
    <row r="9" spans="2:16" ht="20" thickBot="1" x14ac:dyDescent="0.3">
      <c r="B9" s="3" t="s">
        <v>37</v>
      </c>
      <c r="C9" s="38"/>
    </row>
    <row r="10" spans="2:16" ht="20" thickBot="1" x14ac:dyDescent="0.3">
      <c r="B10" s="3" t="s">
        <v>38</v>
      </c>
      <c r="C10" s="37"/>
    </row>
    <row r="11" spans="2:16" ht="11.5" customHeight="1" x14ac:dyDescent="0.25">
      <c r="B11" s="3"/>
    </row>
    <row r="12" spans="2:16" ht="20" thickBot="1" x14ac:dyDescent="0.3">
      <c r="B12" s="2" t="s">
        <v>2</v>
      </c>
    </row>
    <row r="13" spans="2:16" ht="20" thickBot="1" x14ac:dyDescent="0.3">
      <c r="B13" s="4"/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  <c r="J13" s="5" t="s">
        <v>10</v>
      </c>
      <c r="K13" s="5" t="s">
        <v>11</v>
      </c>
      <c r="L13" s="5" t="s">
        <v>12</v>
      </c>
      <c r="M13" s="5" t="s">
        <v>13</v>
      </c>
      <c r="N13" s="5" t="s">
        <v>14</v>
      </c>
      <c r="O13" s="6" t="s">
        <v>15</v>
      </c>
    </row>
    <row r="14" spans="2:16" ht="17" x14ac:dyDescent="0.2">
      <c r="B14" s="7" t="s">
        <v>39</v>
      </c>
      <c r="C14" s="39">
        <v>2400000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8">
        <f>SUM(C14:N14)</f>
        <v>2400000</v>
      </c>
      <c r="P14" s="9"/>
    </row>
    <row r="15" spans="2:16" ht="17" x14ac:dyDescent="0.2">
      <c r="B15" s="10" t="s">
        <v>40</v>
      </c>
      <c r="C15" s="40">
        <v>-900000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11">
        <f>SUM(C15:N15)</f>
        <v>-900000</v>
      </c>
      <c r="P15" s="9"/>
    </row>
    <row r="16" spans="2:16" ht="17" x14ac:dyDescent="0.2">
      <c r="B16" s="10" t="s">
        <v>41</v>
      </c>
      <c r="C16" s="40">
        <v>-600000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11">
        <f>SUM(C16:N16)</f>
        <v>-600000</v>
      </c>
      <c r="P16" s="9"/>
    </row>
    <row r="17" spans="2:16" ht="17" x14ac:dyDescent="0.2">
      <c r="B17" s="10" t="s">
        <v>42</v>
      </c>
      <c r="C17" s="41"/>
      <c r="D17" s="41">
        <v>-30000</v>
      </c>
      <c r="E17" s="41">
        <v>-30000</v>
      </c>
      <c r="F17" s="41">
        <v>-30000</v>
      </c>
      <c r="G17" s="41">
        <v>-30000</v>
      </c>
      <c r="H17" s="41">
        <v>-30000</v>
      </c>
      <c r="I17" s="41">
        <v>-30000</v>
      </c>
      <c r="J17" s="41">
        <v>-30000</v>
      </c>
      <c r="K17" s="41">
        <v>-30000</v>
      </c>
      <c r="L17" s="41">
        <v>-30000</v>
      </c>
      <c r="M17" s="41">
        <v>-30000</v>
      </c>
      <c r="N17" s="41">
        <v>-60000</v>
      </c>
      <c r="O17" s="12">
        <f>SUM(C17:N17)</f>
        <v>-360000</v>
      </c>
      <c r="P17" s="9"/>
    </row>
    <row r="18" spans="2:16" ht="18" thickBot="1" x14ac:dyDescent="0.25">
      <c r="B18" s="13" t="s">
        <v>16</v>
      </c>
      <c r="C18" s="30">
        <f t="shared" ref="C18:N18" si="0">SUM(C14:C17)</f>
        <v>900000</v>
      </c>
      <c r="D18" s="30">
        <f t="shared" si="0"/>
        <v>-30000</v>
      </c>
      <c r="E18" s="30">
        <f t="shared" si="0"/>
        <v>-30000</v>
      </c>
      <c r="F18" s="30">
        <f t="shared" si="0"/>
        <v>-30000</v>
      </c>
      <c r="G18" s="30">
        <f t="shared" si="0"/>
        <v>-30000</v>
      </c>
      <c r="H18" s="30">
        <f t="shared" si="0"/>
        <v>-30000</v>
      </c>
      <c r="I18" s="30">
        <f t="shared" si="0"/>
        <v>-30000</v>
      </c>
      <c r="J18" s="30">
        <f t="shared" si="0"/>
        <v>-30000</v>
      </c>
      <c r="K18" s="30">
        <f t="shared" si="0"/>
        <v>-30000</v>
      </c>
      <c r="L18" s="30">
        <f t="shared" si="0"/>
        <v>-30000</v>
      </c>
      <c r="M18" s="30">
        <f t="shared" si="0"/>
        <v>-30000</v>
      </c>
      <c r="N18" s="30">
        <f t="shared" si="0"/>
        <v>-60000</v>
      </c>
      <c r="O18" s="14">
        <f>SUM(C18:N18)</f>
        <v>540000</v>
      </c>
      <c r="P18" s="9"/>
    </row>
    <row r="19" spans="2:16" ht="9" customHeight="1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2:16" ht="20" thickBot="1" x14ac:dyDescent="0.3">
      <c r="B20" s="2" t="s">
        <v>17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2:16" ht="17" x14ac:dyDescent="0.2">
      <c r="B21" s="15"/>
      <c r="C21" s="16" t="s">
        <v>3</v>
      </c>
      <c r="D21" s="16" t="s">
        <v>4</v>
      </c>
      <c r="E21" s="16" t="s">
        <v>5</v>
      </c>
      <c r="F21" s="16" t="s">
        <v>6</v>
      </c>
      <c r="G21" s="16" t="s">
        <v>7</v>
      </c>
      <c r="H21" s="16" t="s">
        <v>8</v>
      </c>
      <c r="I21" s="16" t="s">
        <v>9</v>
      </c>
      <c r="J21" s="16" t="s">
        <v>10</v>
      </c>
      <c r="K21" s="16" t="s">
        <v>11</v>
      </c>
      <c r="L21" s="16" t="s">
        <v>12</v>
      </c>
      <c r="M21" s="16" t="s">
        <v>13</v>
      </c>
      <c r="N21" s="16" t="s">
        <v>14</v>
      </c>
      <c r="O21" s="17" t="s">
        <v>15</v>
      </c>
      <c r="P21" s="18" t="s">
        <v>18</v>
      </c>
    </row>
    <row r="22" spans="2:16" ht="17" x14ac:dyDescent="0.2">
      <c r="B22" s="19" t="s">
        <v>19</v>
      </c>
      <c r="C22" s="42">
        <v>200000</v>
      </c>
      <c r="D22" s="42">
        <v>200000</v>
      </c>
      <c r="E22" s="42">
        <v>200000</v>
      </c>
      <c r="F22" s="42">
        <v>200000</v>
      </c>
      <c r="G22" s="42">
        <v>200000</v>
      </c>
      <c r="H22" s="42">
        <v>200000</v>
      </c>
      <c r="I22" s="42">
        <v>200000</v>
      </c>
      <c r="J22" s="42">
        <v>200000</v>
      </c>
      <c r="K22" s="42">
        <v>200000</v>
      </c>
      <c r="L22" s="42">
        <v>200000</v>
      </c>
      <c r="M22" s="42">
        <v>200000</v>
      </c>
      <c r="N22" s="42">
        <v>200000</v>
      </c>
      <c r="O22" s="20">
        <f>SUM(C22:N22)</f>
        <v>2400000</v>
      </c>
      <c r="P22" s="21"/>
    </row>
    <row r="23" spans="2:16" ht="17" x14ac:dyDescent="0.2">
      <c r="B23" s="10" t="s">
        <v>20</v>
      </c>
      <c r="C23" s="43">
        <v>75000</v>
      </c>
      <c r="D23" s="43">
        <v>75000</v>
      </c>
      <c r="E23" s="43">
        <v>75000</v>
      </c>
      <c r="F23" s="43">
        <v>75000</v>
      </c>
      <c r="G23" s="43">
        <v>75000</v>
      </c>
      <c r="H23" s="43">
        <v>75000</v>
      </c>
      <c r="I23" s="43">
        <v>75000</v>
      </c>
      <c r="J23" s="43">
        <v>75000</v>
      </c>
      <c r="K23" s="43">
        <v>75000</v>
      </c>
      <c r="L23" s="43">
        <v>75000</v>
      </c>
      <c r="M23" s="43">
        <v>75000</v>
      </c>
      <c r="N23" s="43">
        <v>75000</v>
      </c>
      <c r="O23" s="22">
        <f>SUM(C23:N23)</f>
        <v>900000</v>
      </c>
      <c r="P23" s="21"/>
    </row>
    <row r="24" spans="2:16" ht="17" x14ac:dyDescent="0.2">
      <c r="B24" s="19" t="s">
        <v>21</v>
      </c>
      <c r="C24" s="26">
        <f t="shared" ref="C24:N24" si="1">C22-C23</f>
        <v>125000</v>
      </c>
      <c r="D24" s="26">
        <f t="shared" si="1"/>
        <v>125000</v>
      </c>
      <c r="E24" s="26">
        <f t="shared" si="1"/>
        <v>125000</v>
      </c>
      <c r="F24" s="26">
        <f t="shared" si="1"/>
        <v>125000</v>
      </c>
      <c r="G24" s="26">
        <f t="shared" si="1"/>
        <v>125000</v>
      </c>
      <c r="H24" s="26">
        <f t="shared" si="1"/>
        <v>125000</v>
      </c>
      <c r="I24" s="26">
        <f t="shared" si="1"/>
        <v>125000</v>
      </c>
      <c r="J24" s="26">
        <f t="shared" si="1"/>
        <v>125000</v>
      </c>
      <c r="K24" s="26">
        <f t="shared" si="1"/>
        <v>125000</v>
      </c>
      <c r="L24" s="26">
        <f t="shared" si="1"/>
        <v>125000</v>
      </c>
      <c r="M24" s="26">
        <f t="shared" si="1"/>
        <v>125000</v>
      </c>
      <c r="N24" s="26">
        <f t="shared" si="1"/>
        <v>125000</v>
      </c>
      <c r="O24" s="20">
        <f>SUM(C24:N24)</f>
        <v>1500000</v>
      </c>
      <c r="P24" s="21"/>
    </row>
    <row r="25" spans="2:16" ht="6" customHeight="1" x14ac:dyDescent="0.2">
      <c r="B25" s="10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0"/>
      <c r="P25" s="21"/>
    </row>
    <row r="26" spans="2:16" ht="17" x14ac:dyDescent="0.2">
      <c r="B26" s="10" t="s">
        <v>22</v>
      </c>
      <c r="C26" s="44">
        <v>50000</v>
      </c>
      <c r="D26" s="44">
        <v>50000</v>
      </c>
      <c r="E26" s="44">
        <v>50000</v>
      </c>
      <c r="F26" s="44">
        <v>50000</v>
      </c>
      <c r="G26" s="44">
        <v>50000</v>
      </c>
      <c r="H26" s="44">
        <v>50000</v>
      </c>
      <c r="I26" s="44">
        <v>50000</v>
      </c>
      <c r="J26" s="44">
        <v>50000</v>
      </c>
      <c r="K26" s="44">
        <v>50000</v>
      </c>
      <c r="L26" s="44">
        <v>50000</v>
      </c>
      <c r="M26" s="44">
        <v>50000</v>
      </c>
      <c r="N26" s="44">
        <v>50000</v>
      </c>
      <c r="O26" s="20">
        <f>SUM(C26:N26)</f>
        <v>600000</v>
      </c>
      <c r="P26" s="21"/>
    </row>
    <row r="27" spans="2:16" ht="17" x14ac:dyDescent="0.2">
      <c r="B27" s="10" t="s">
        <v>23</v>
      </c>
      <c r="C27" s="43">
        <v>30000</v>
      </c>
      <c r="D27" s="43">
        <v>30000</v>
      </c>
      <c r="E27" s="43">
        <v>30000</v>
      </c>
      <c r="F27" s="43">
        <v>30000</v>
      </c>
      <c r="G27" s="43">
        <v>30000</v>
      </c>
      <c r="H27" s="43">
        <v>30000</v>
      </c>
      <c r="I27" s="43">
        <v>30000</v>
      </c>
      <c r="J27" s="43">
        <v>30000</v>
      </c>
      <c r="K27" s="43">
        <v>30000</v>
      </c>
      <c r="L27" s="43">
        <v>30000</v>
      </c>
      <c r="M27" s="43">
        <v>30000</v>
      </c>
      <c r="N27" s="43">
        <v>30000</v>
      </c>
      <c r="O27" s="22">
        <f>SUM(C27:N27)</f>
        <v>360000</v>
      </c>
      <c r="P27" s="21"/>
    </row>
    <row r="28" spans="2:16" ht="17" x14ac:dyDescent="0.2">
      <c r="B28" s="19" t="s">
        <v>24</v>
      </c>
      <c r="C28" s="26">
        <f t="shared" ref="C28:N28" si="2">C26+C27</f>
        <v>80000</v>
      </c>
      <c r="D28" s="26">
        <f t="shared" si="2"/>
        <v>80000</v>
      </c>
      <c r="E28" s="26">
        <f t="shared" si="2"/>
        <v>80000</v>
      </c>
      <c r="F28" s="26">
        <f t="shared" si="2"/>
        <v>80000</v>
      </c>
      <c r="G28" s="26">
        <f t="shared" si="2"/>
        <v>80000</v>
      </c>
      <c r="H28" s="26">
        <f t="shared" si="2"/>
        <v>80000</v>
      </c>
      <c r="I28" s="26">
        <f t="shared" si="2"/>
        <v>80000</v>
      </c>
      <c r="J28" s="26">
        <f t="shared" si="2"/>
        <v>80000</v>
      </c>
      <c r="K28" s="26">
        <f t="shared" si="2"/>
        <v>80000</v>
      </c>
      <c r="L28" s="26">
        <f t="shared" si="2"/>
        <v>80000</v>
      </c>
      <c r="M28" s="26">
        <f t="shared" si="2"/>
        <v>80000</v>
      </c>
      <c r="N28" s="26">
        <f t="shared" si="2"/>
        <v>80000</v>
      </c>
      <c r="O28" s="20">
        <f>SUM(C28:N28)</f>
        <v>960000</v>
      </c>
      <c r="P28" s="21"/>
    </row>
    <row r="29" spans="2:16" ht="8.5" customHeight="1" x14ac:dyDescent="0.2">
      <c r="B29" s="1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0"/>
      <c r="P29" s="21"/>
    </row>
    <row r="30" spans="2:16" ht="18" thickBot="1" x14ac:dyDescent="0.25">
      <c r="B30" s="13" t="s">
        <v>25</v>
      </c>
      <c r="C30" s="30">
        <f t="shared" ref="C30:N30" si="3">C24-C28</f>
        <v>45000</v>
      </c>
      <c r="D30" s="30">
        <f t="shared" si="3"/>
        <v>45000</v>
      </c>
      <c r="E30" s="30">
        <f t="shared" si="3"/>
        <v>45000</v>
      </c>
      <c r="F30" s="30">
        <f t="shared" si="3"/>
        <v>45000</v>
      </c>
      <c r="G30" s="30">
        <f t="shared" si="3"/>
        <v>45000</v>
      </c>
      <c r="H30" s="30">
        <f t="shared" si="3"/>
        <v>45000</v>
      </c>
      <c r="I30" s="30">
        <f t="shared" si="3"/>
        <v>45000</v>
      </c>
      <c r="J30" s="30">
        <f>J24-J28</f>
        <v>45000</v>
      </c>
      <c r="K30" s="30">
        <f>K24-K28</f>
        <v>45000</v>
      </c>
      <c r="L30" s="30">
        <f>L24-L28</f>
        <v>45000</v>
      </c>
      <c r="M30" s="30">
        <f>M24-M28</f>
        <v>45000</v>
      </c>
      <c r="N30" s="30">
        <f t="shared" si="3"/>
        <v>45000</v>
      </c>
      <c r="O30" s="23">
        <f>SUM(C30:N30)</f>
        <v>540000</v>
      </c>
      <c r="P30" s="24"/>
    </row>
    <row r="32" spans="2:16" ht="20" thickBot="1" x14ac:dyDescent="0.3">
      <c r="B32" s="2" t="s">
        <v>28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2:15" ht="18" thickBot="1" x14ac:dyDescent="0.25">
      <c r="B33" s="15"/>
      <c r="C33" s="16" t="s">
        <v>3</v>
      </c>
      <c r="D33" s="16" t="s">
        <v>4</v>
      </c>
      <c r="E33" s="16" t="s">
        <v>5</v>
      </c>
      <c r="F33" s="16" t="s">
        <v>6</v>
      </c>
      <c r="G33" s="16" t="s">
        <v>7</v>
      </c>
      <c r="H33" s="16" t="s">
        <v>8</v>
      </c>
      <c r="I33" s="16" t="s">
        <v>9</v>
      </c>
      <c r="J33" s="16" t="s">
        <v>10</v>
      </c>
      <c r="K33" s="16" t="s">
        <v>11</v>
      </c>
      <c r="L33" s="16" t="s">
        <v>12</v>
      </c>
      <c r="M33" s="16" t="s">
        <v>13</v>
      </c>
      <c r="N33" s="18" t="s">
        <v>14</v>
      </c>
      <c r="O33" s="31"/>
    </row>
    <row r="34" spans="2:15" ht="17" x14ac:dyDescent="0.2">
      <c r="B34" s="7" t="s">
        <v>0</v>
      </c>
      <c r="C34" s="29">
        <f>C18</f>
        <v>900000</v>
      </c>
      <c r="D34" s="29">
        <f>C34+D18</f>
        <v>870000</v>
      </c>
      <c r="E34" s="29">
        <f t="shared" ref="E34:N34" si="4">D34+E18</f>
        <v>840000</v>
      </c>
      <c r="F34" s="29">
        <f t="shared" si="4"/>
        <v>810000</v>
      </c>
      <c r="G34" s="29">
        <f t="shared" si="4"/>
        <v>780000</v>
      </c>
      <c r="H34" s="29">
        <f t="shared" si="4"/>
        <v>750000</v>
      </c>
      <c r="I34" s="29">
        <f t="shared" si="4"/>
        <v>720000</v>
      </c>
      <c r="J34" s="29">
        <f t="shared" si="4"/>
        <v>690000</v>
      </c>
      <c r="K34" s="29">
        <f t="shared" si="4"/>
        <v>660000</v>
      </c>
      <c r="L34" s="29">
        <f t="shared" si="4"/>
        <v>630000</v>
      </c>
      <c r="M34" s="29">
        <f t="shared" si="4"/>
        <v>600000</v>
      </c>
      <c r="N34" s="36">
        <f t="shared" si="4"/>
        <v>540000</v>
      </c>
      <c r="O34" s="25"/>
    </row>
    <row r="35" spans="2:15" ht="17" x14ac:dyDescent="0.2">
      <c r="B35" s="10" t="s">
        <v>29</v>
      </c>
      <c r="C35" s="27">
        <f>-C15-C23</f>
        <v>825000</v>
      </c>
      <c r="D35" s="27">
        <f>C35-D23</f>
        <v>750000</v>
      </c>
      <c r="E35" s="27">
        <f t="shared" ref="E35:N35" si="5">D35-E23</f>
        <v>675000</v>
      </c>
      <c r="F35" s="27">
        <f t="shared" si="5"/>
        <v>600000</v>
      </c>
      <c r="G35" s="27">
        <f t="shared" si="5"/>
        <v>525000</v>
      </c>
      <c r="H35" s="27">
        <f t="shared" si="5"/>
        <v>450000</v>
      </c>
      <c r="I35" s="27">
        <f t="shared" si="5"/>
        <v>375000</v>
      </c>
      <c r="J35" s="27">
        <f t="shared" si="5"/>
        <v>300000</v>
      </c>
      <c r="K35" s="27">
        <f t="shared" si="5"/>
        <v>225000</v>
      </c>
      <c r="L35" s="27">
        <f t="shared" si="5"/>
        <v>150000</v>
      </c>
      <c r="M35" s="27">
        <f t="shared" si="5"/>
        <v>75000</v>
      </c>
      <c r="N35" s="32">
        <f t="shared" si="5"/>
        <v>0</v>
      </c>
      <c r="O35" s="25"/>
    </row>
    <row r="36" spans="2:15" ht="17" x14ac:dyDescent="0.2">
      <c r="B36" s="10" t="s">
        <v>30</v>
      </c>
      <c r="C36" s="28">
        <f>-C16-C26</f>
        <v>550000</v>
      </c>
      <c r="D36" s="28">
        <f>C36-C26</f>
        <v>500000</v>
      </c>
      <c r="E36" s="28">
        <f t="shared" ref="E36:N36" si="6">D36-D26</f>
        <v>450000</v>
      </c>
      <c r="F36" s="28">
        <f t="shared" si="6"/>
        <v>400000</v>
      </c>
      <c r="G36" s="28">
        <f t="shared" si="6"/>
        <v>350000</v>
      </c>
      <c r="H36" s="28">
        <f t="shared" si="6"/>
        <v>300000</v>
      </c>
      <c r="I36" s="28">
        <f t="shared" si="6"/>
        <v>250000</v>
      </c>
      <c r="J36" s="28">
        <f t="shared" si="6"/>
        <v>200000</v>
      </c>
      <c r="K36" s="28">
        <f t="shared" si="6"/>
        <v>150000</v>
      </c>
      <c r="L36" s="28">
        <f t="shared" si="6"/>
        <v>100000</v>
      </c>
      <c r="M36" s="28">
        <f t="shared" si="6"/>
        <v>50000</v>
      </c>
      <c r="N36" s="33">
        <f t="shared" si="6"/>
        <v>0</v>
      </c>
      <c r="O36" s="25"/>
    </row>
    <row r="37" spans="2:15" ht="17" x14ac:dyDescent="0.2">
      <c r="B37" s="19" t="s">
        <v>32</v>
      </c>
      <c r="C37" s="26">
        <f>SUM(C34:C36)</f>
        <v>2275000</v>
      </c>
      <c r="D37" s="26">
        <f t="shared" ref="D37:N37" si="7">SUM(D34:D36)</f>
        <v>2120000</v>
      </c>
      <c r="E37" s="26">
        <f t="shared" si="7"/>
        <v>1965000</v>
      </c>
      <c r="F37" s="26">
        <f t="shared" si="7"/>
        <v>1810000</v>
      </c>
      <c r="G37" s="26">
        <f t="shared" si="7"/>
        <v>1655000</v>
      </c>
      <c r="H37" s="26">
        <f t="shared" si="7"/>
        <v>1500000</v>
      </c>
      <c r="I37" s="26">
        <f t="shared" si="7"/>
        <v>1345000</v>
      </c>
      <c r="J37" s="26">
        <f t="shared" si="7"/>
        <v>1190000</v>
      </c>
      <c r="K37" s="26">
        <f t="shared" si="7"/>
        <v>1035000</v>
      </c>
      <c r="L37" s="26">
        <f t="shared" si="7"/>
        <v>880000</v>
      </c>
      <c r="M37" s="26">
        <f t="shared" si="7"/>
        <v>725000</v>
      </c>
      <c r="N37" s="34">
        <f t="shared" si="7"/>
        <v>540000</v>
      </c>
      <c r="O37" s="25"/>
    </row>
    <row r="38" spans="2:15" ht="17" x14ac:dyDescent="0.2">
      <c r="B38" s="10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32"/>
      <c r="O38" s="25"/>
    </row>
    <row r="39" spans="2:15" ht="17" x14ac:dyDescent="0.2">
      <c r="B39" s="10" t="s">
        <v>31</v>
      </c>
      <c r="C39" s="27">
        <f>C14-C22</f>
        <v>2200000</v>
      </c>
      <c r="D39" s="27">
        <f>C39-D22</f>
        <v>2000000</v>
      </c>
      <c r="E39" s="27">
        <f t="shared" ref="E39:N39" si="8">D39-E22</f>
        <v>1800000</v>
      </c>
      <c r="F39" s="27">
        <f t="shared" si="8"/>
        <v>1600000</v>
      </c>
      <c r="G39" s="27">
        <f t="shared" si="8"/>
        <v>1400000</v>
      </c>
      <c r="H39" s="27">
        <f t="shared" si="8"/>
        <v>1200000</v>
      </c>
      <c r="I39" s="27">
        <f t="shared" si="8"/>
        <v>1000000</v>
      </c>
      <c r="J39" s="27">
        <f t="shared" si="8"/>
        <v>800000</v>
      </c>
      <c r="K39" s="27">
        <f t="shared" si="8"/>
        <v>600000</v>
      </c>
      <c r="L39" s="27">
        <f t="shared" si="8"/>
        <v>400000</v>
      </c>
      <c r="M39" s="27">
        <f t="shared" si="8"/>
        <v>200000</v>
      </c>
      <c r="N39" s="32">
        <f t="shared" si="8"/>
        <v>0</v>
      </c>
      <c r="O39" s="25"/>
    </row>
    <row r="40" spans="2:15" ht="17" x14ac:dyDescent="0.2">
      <c r="B40" s="10" t="s">
        <v>35</v>
      </c>
      <c r="C40" s="28">
        <f>C27-C17</f>
        <v>30000</v>
      </c>
      <c r="D40" s="28">
        <f>C40+D27+D17</f>
        <v>30000</v>
      </c>
      <c r="E40" s="28">
        <f t="shared" ref="E40:N40" si="9">D40+E27+E17</f>
        <v>30000</v>
      </c>
      <c r="F40" s="28">
        <f t="shared" si="9"/>
        <v>30000</v>
      </c>
      <c r="G40" s="28">
        <f t="shared" si="9"/>
        <v>30000</v>
      </c>
      <c r="H40" s="28">
        <f t="shared" si="9"/>
        <v>30000</v>
      </c>
      <c r="I40" s="28">
        <f t="shared" si="9"/>
        <v>30000</v>
      </c>
      <c r="J40" s="28">
        <f t="shared" si="9"/>
        <v>30000</v>
      </c>
      <c r="K40" s="28">
        <f t="shared" si="9"/>
        <v>30000</v>
      </c>
      <c r="L40" s="28">
        <f t="shared" si="9"/>
        <v>30000</v>
      </c>
      <c r="M40" s="28">
        <f t="shared" si="9"/>
        <v>30000</v>
      </c>
      <c r="N40" s="33">
        <f t="shared" si="9"/>
        <v>0</v>
      </c>
      <c r="O40" s="25"/>
    </row>
    <row r="41" spans="2:15" ht="17" x14ac:dyDescent="0.2">
      <c r="B41" s="19" t="s">
        <v>33</v>
      </c>
      <c r="C41" s="26">
        <f>SUM(C39:C40)</f>
        <v>2230000</v>
      </c>
      <c r="D41" s="26">
        <f t="shared" ref="D41:N41" si="10">SUM(D39:D40)</f>
        <v>2030000</v>
      </c>
      <c r="E41" s="26">
        <f t="shared" si="10"/>
        <v>1830000</v>
      </c>
      <c r="F41" s="26">
        <f t="shared" si="10"/>
        <v>1630000</v>
      </c>
      <c r="G41" s="26">
        <f t="shared" si="10"/>
        <v>1430000</v>
      </c>
      <c r="H41" s="26">
        <f t="shared" si="10"/>
        <v>1230000</v>
      </c>
      <c r="I41" s="26">
        <f t="shared" si="10"/>
        <v>1030000</v>
      </c>
      <c r="J41" s="26">
        <f t="shared" si="10"/>
        <v>830000</v>
      </c>
      <c r="K41" s="26">
        <f t="shared" si="10"/>
        <v>630000</v>
      </c>
      <c r="L41" s="26">
        <f t="shared" si="10"/>
        <v>430000</v>
      </c>
      <c r="M41" s="26">
        <f t="shared" si="10"/>
        <v>230000</v>
      </c>
      <c r="N41" s="34">
        <f t="shared" si="10"/>
        <v>0</v>
      </c>
      <c r="O41" s="25"/>
    </row>
    <row r="42" spans="2:15" ht="17" x14ac:dyDescent="0.2">
      <c r="B42" s="19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34"/>
      <c r="O42" s="25"/>
    </row>
    <row r="43" spans="2:15" ht="18" thickBot="1" x14ac:dyDescent="0.25">
      <c r="B43" s="13" t="s">
        <v>34</v>
      </c>
      <c r="C43" s="30">
        <f>C37-C41</f>
        <v>45000</v>
      </c>
      <c r="D43" s="30">
        <f>C43+D30</f>
        <v>90000</v>
      </c>
      <c r="E43" s="30">
        <f t="shared" ref="E43:N43" si="11">D43+E30</f>
        <v>135000</v>
      </c>
      <c r="F43" s="30">
        <f t="shared" si="11"/>
        <v>180000</v>
      </c>
      <c r="G43" s="30">
        <f t="shared" si="11"/>
        <v>225000</v>
      </c>
      <c r="H43" s="30">
        <f t="shared" si="11"/>
        <v>270000</v>
      </c>
      <c r="I43" s="30">
        <f t="shared" si="11"/>
        <v>315000</v>
      </c>
      <c r="J43" s="30">
        <f t="shared" si="11"/>
        <v>360000</v>
      </c>
      <c r="K43" s="30">
        <f t="shared" si="11"/>
        <v>405000</v>
      </c>
      <c r="L43" s="30">
        <f t="shared" si="11"/>
        <v>450000</v>
      </c>
      <c r="M43" s="30">
        <f t="shared" si="11"/>
        <v>495000</v>
      </c>
      <c r="N43" s="35">
        <f t="shared" si="11"/>
        <v>540000</v>
      </c>
      <c r="O43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Accrual Accounting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MacCourt</dc:creator>
  <cp:lastModifiedBy>Porter, Samuel D</cp:lastModifiedBy>
  <dcterms:created xsi:type="dcterms:W3CDTF">2024-02-01T11:17:24Z</dcterms:created>
  <dcterms:modified xsi:type="dcterms:W3CDTF">2026-09-03T15:15:26Z</dcterms:modified>
</cp:coreProperties>
</file>